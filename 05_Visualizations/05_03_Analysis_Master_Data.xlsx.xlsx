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rao\Documents\Towards PHD Cyber Security and CNI\Proposals\Journal Submition paper\New SLR 2026 Feature Engineering\SLR- FE and DP Supplement Alriyami Murtadha - Final Copy\05_Visualizations\"/>
    </mc:Choice>
  </mc:AlternateContent>
  <xr:revisionPtr revIDLastSave="0" documentId="13_ncr:1_{57B9013E-6F8C-4737-8522-5B4C98BB6DF9}" xr6:coauthVersionLast="47" xr6:coauthVersionMax="47" xr10:uidLastSave="{00000000-0000-0000-0000-000000000000}"/>
  <bookViews>
    <workbookView xWindow="19090" yWindow="-110" windowWidth="19420" windowHeight="10300" activeTab="1" xr2:uid="{FAA44D80-71BF-4FF8-BDFF-AE3232AD0ECA}"/>
  </bookViews>
  <sheets>
    <sheet name="Journals " sheetId="2" r:id="rId1"/>
    <sheet name="Publication Year" sheetId="1" r:id="rId2"/>
    <sheet name="Top 5 Journal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6" i="1"/>
  <c r="E7" i="1"/>
  <c r="E8" i="1"/>
  <c r="E9" i="1"/>
  <c r="E5" i="1"/>
  <c r="D10" i="1"/>
</calcChain>
</file>

<file path=xl/sharedStrings.xml><?xml version="1.0" encoding="utf-8"?>
<sst xmlns="http://schemas.openxmlformats.org/spreadsheetml/2006/main" count="344" uniqueCount="297">
  <si>
    <t xml:space="preserve">Year </t>
  </si>
  <si>
    <t xml:space="preserve">Number of Papers </t>
  </si>
  <si>
    <t>percentage</t>
  </si>
  <si>
    <t>Publication Year</t>
  </si>
  <si>
    <t>Author</t>
  </si>
  <si>
    <t>Title</t>
  </si>
  <si>
    <t>Publication Title</t>
  </si>
  <si>
    <t>Wei, Yichen; Chow, Kam-Pui; Yiu, Siu-Ming</t>
  </si>
  <si>
    <t>Insider threat prediction based on unsupervised anomaly detection scheme for proactive forensic investigation</t>
  </si>
  <si>
    <t>Forensic Science International: Digital Investigation</t>
  </si>
  <si>
    <t>Rauf, Usman; Shehab, Mohamed; Qamar, Nafees; Sameen, Sheema</t>
  </si>
  <si>
    <t>Formal approach to thwart against insider attacks: A bio-inspired auto-resilient policy regulation framework</t>
  </si>
  <si>
    <t>Future Generation Computer Systems</t>
  </si>
  <si>
    <t>Al-Mhiqani, MN; Isnin, SN; Ahmed, R; Abidi, ZZ</t>
  </si>
  <si>
    <t>An Integrated Imbalanced Learning and Deep Neural Network Model for Insider Threat Detection</t>
  </si>
  <si>
    <t>INTERNATIONAL JOURNAL OF ADVANCED COMPUTER SCIENCE AND APPLICATIONS</t>
  </si>
  <si>
    <t>Nasir, R; Afzal, M; Latif, R; Iqbal, W</t>
  </si>
  <si>
    <t>Behavioral Based Insider Threat Detection Using Deep Learning</t>
  </si>
  <si>
    <t>Wall, A.; Agrafiotis, I.</t>
  </si>
  <si>
    <t>A bayesian approach to insider threat detection</t>
  </si>
  <si>
    <t>Journal of Wireless Mobile Networks, Ubiquitous Computing, and Dependable Applications</t>
  </si>
  <si>
    <t>Greitzer, F.L.; Purl, J.; Sticha, P.J.; Yu, M.C.; Lee, J.</t>
  </si>
  <si>
    <t>Use of expert judgments to inform bayesian models of insider threat risk</t>
  </si>
  <si>
    <t>Mehnaz, S.; Bertino, E.</t>
  </si>
  <si>
    <t>A Fine-Grained Approach for Anomaly Detection in File System Accesses with Enhanced Temporal User Profiles</t>
  </si>
  <si>
    <t>IEEE Transactions on Dependable and Secure Computing</t>
  </si>
  <si>
    <t>Entropy</t>
  </si>
  <si>
    <t>Le, D.C.; Zincir-Heywood, N.</t>
  </si>
  <si>
    <t>Exploring anomalous behaviour detection and classification for insider threat identification</t>
  </si>
  <si>
    <t>International Journal of Network Management</t>
  </si>
  <si>
    <t>Jyosthna, P.M.; Reddy, K.T.</t>
  </si>
  <si>
    <t>Threat Analysis Using N-Median Outlier Detection Method With Deviation Score</t>
  </si>
  <si>
    <t>International Journal of Advanced Computer Science and Applications</t>
  </si>
  <si>
    <t>Janjua, F.; Masood, A.; Abbas, H.; Rashid, I.; Khan, M.M.Z.M.</t>
  </si>
  <si>
    <t>Textual analysis of traitor-based dataset through semi supervised machine learning</t>
  </si>
  <si>
    <t>Zhang, C.; Wang, S.; Zhan, D.; Yu, T.; Wang, T.; Yin, M.</t>
  </si>
  <si>
    <t>Detecting Insider Threat from Behavioral Logs Based on Ensemble and Self-Supervised Learning</t>
  </si>
  <si>
    <t>Security and Communication Networks</t>
  </si>
  <si>
    <t>Anomaly Detection for Insider Threats Using Unsupervised Ensembles</t>
  </si>
  <si>
    <t>IEEE Transactions on Network and Service Management</t>
  </si>
  <si>
    <t>Dosh, M.</t>
  </si>
  <si>
    <t>Detecting insider threat within institutions using CERT dataset and different ML techniques</t>
  </si>
  <si>
    <t>Periodicals of Engineering and Natural Sciences</t>
  </si>
  <si>
    <t>Li, D.; Yang, L.; Zhang, H.; Wang, X.; Ma, L.; Xiao, J.</t>
  </si>
  <si>
    <t>Image-Based Insider Threat Detection via Geometric Transformation</t>
  </si>
  <si>
    <t>Al-Shehari, A</t>
  </si>
  <si>
    <t>Relational Deep Learning Detection with Multi-Sequence Representation for Insider Threats</t>
  </si>
  <si>
    <t>Al-Mhiqani, MN; Ahmad, R; Abidin, ZZ; Abdulkareem, KH; Mohammed, MA; Gupta, D; Shankar, K</t>
  </si>
  <si>
    <t>A new intelligent multilayer framework for insider threat detection</t>
  </si>
  <si>
    <t>COMPUTERS &amp; ELECTRICAL ENGINEERING</t>
  </si>
  <si>
    <t>Singh, M; Mehtre, BM; Sangeetha, S</t>
  </si>
  <si>
    <t>User behavior based Insider Threat Detection using a Multi Fuzzy Classifier</t>
  </si>
  <si>
    <t>MULTIMEDIA TOOLS AND APPLICATIONS</t>
  </si>
  <si>
    <t>Anakath, A.S.; Kannadasan, R.; Joseph, N.P.; Boominathan, P.; Sreekanth, G.R.</t>
  </si>
  <si>
    <t>Insider attack detection using deep belief neural network in cloud computing</t>
  </si>
  <si>
    <t>Computer Systems Science and Engineering</t>
  </si>
  <si>
    <t>Alabdulkreem, E.; Alduailij, M.; Alduailij, M.; Mansour, R.F.</t>
  </si>
  <si>
    <t>Optimal weighted fusion based insider data leakage detection and classification model for Ubiquitous computing systems</t>
  </si>
  <si>
    <t>Sustainable Energy Technologies and Assessments</t>
  </si>
  <si>
    <t>Hafizur Rahman, M.M.; Naeem, M.A.A.; Abubakar, A.</t>
  </si>
  <si>
    <t>Threats From Unintentional Insiders: An Assessment of an Organization's Readiness Using Machine Learning</t>
  </si>
  <si>
    <t>IEEE Access</t>
  </si>
  <si>
    <t>Erola, A.; Agrafiotis, I.; Goldsmith, M.; Creese, S.</t>
  </si>
  <si>
    <t>Insider-threat detection: Lessons from deploying the CITD tool in three multinational organisations</t>
  </si>
  <si>
    <t>Journal of Information Security and Applications</t>
  </si>
  <si>
    <t>Hurst, W.; Tekinerdogan, B.; Alskaif, T.; Boddy, A.; Shone, N.</t>
  </si>
  <si>
    <t>Securing electronic health records against insider-threats: A supervised machine learning approach</t>
  </si>
  <si>
    <t>Smart Health</t>
  </si>
  <si>
    <t>Wang, J.; Liu, J.; Yan, T.; Xia, M.; Hong, J.; Zhou, C.</t>
  </si>
  <si>
    <t>A Fusion Model Based on Dynamic Web Browsing Behavior Analysis for IoT Insider Threat Detection</t>
  </si>
  <si>
    <t>Sensors</t>
  </si>
  <si>
    <t>Wang, C.; Zhu, H.</t>
  </si>
  <si>
    <t>Wrongdoing Monitor: A Graph-Based Behavioral Anomaly Detection in Cyber Security</t>
  </si>
  <si>
    <t>IEEE Transactions on Information Forensics and Security</t>
  </si>
  <si>
    <t>Haq, M.A.; Khan, M.A.R.; Alshehri, M.</t>
  </si>
  <si>
    <t>Insider Threat Detection Based on NLP Word Embedding and Machine Learning</t>
  </si>
  <si>
    <t>Intelligent Automation and Soft Computing</t>
  </si>
  <si>
    <t>He, D.; Lv, X.; Xu, X.; Yu, S.; Li, D.; Chan, S.; Guizani, M.</t>
  </si>
  <si>
    <t>An Effective Double-Layer Detection System Against Social Engineering Attacks</t>
  </si>
  <si>
    <t>IEEE Network</t>
  </si>
  <si>
    <t>Amuda, O.K.; Akinyemi, B.O.; Sanni, M.L.; Aderounmu, G.A.</t>
  </si>
  <si>
    <t>A Predictive User Behaviour Analytic Model for Insider Threats in Cyberspace</t>
  </si>
  <si>
    <t>International Journal of Communication Networks and Information Security</t>
  </si>
  <si>
    <t>Hong, Wei; Yin, Jiao; You, Mingshan; Wang, Hua; Cao, Jinli; Li, Jianxin; Liu, Ming; Man, Chengyuan</t>
  </si>
  <si>
    <t>A graph empowered insider threat detection framework based on daily activities</t>
  </si>
  <si>
    <t>ISA Transactions</t>
  </si>
  <si>
    <t>AlSlaiman, Muhanned; Salman, Mohammed I.; Saleh, Mariam M.; Wang, Bin</t>
  </si>
  <si>
    <t>Enhancing false negative and positive rates for efficient insider threat detection</t>
  </si>
  <si>
    <t>Computers &amp; Security</t>
  </si>
  <si>
    <t>Racherache, Badis; Shirani, Paria; Soeanu, Andrei; Debbabi, Mourad</t>
  </si>
  <si>
    <t>CPID: Insider threat detection using profiling and cyber-persona identification</t>
  </si>
  <si>
    <t>Randive, Krunal; Mohan, R.; Sivakrishna, Ambairam Muthu</t>
  </si>
  <si>
    <t>An efficient pattern-based approach for insider threat classification using the image-based feature representation</t>
  </si>
  <si>
    <t>Pal, Preetam; Chattopadhyay, Pratik; Swarnkar, Mayank</t>
  </si>
  <si>
    <t>Temporal feature aggregation with attention for insider threat detection from activity logs</t>
  </si>
  <si>
    <t>Expert Systems with Applications</t>
  </si>
  <si>
    <t>Li, XM; Li, XY; Jia, J; Li, LH; Yuan, J; Gao, YL; Yu, S</t>
  </si>
  <si>
    <t>A High Accuracy and Adaptive Anomaly Detection Model With Dual-Domain Graph Convolutional Network for Insider Threat Detection</t>
  </si>
  <si>
    <t>IEEE TRANSACTIONS ON INFORMATION FORENSICS AND SECURITY</t>
  </si>
  <si>
    <t>Al-Shehari, T; Al-Razgan, M; Alfakih, T; Alsowail, RA; Pandiaraj, S</t>
  </si>
  <si>
    <t>Insider Threat Detection Model Using Anomaly-Based Isolation Forest Algorithm</t>
  </si>
  <si>
    <t>Kan, X; Fan, YX; Zheng, JJ; Chi, CH; Song, WQ; Kudreyko, A</t>
  </si>
  <si>
    <t>Data adjusting strategy and optimized XGBoost algorithm for novel insider threat detection model</t>
  </si>
  <si>
    <t>JOURNAL OF THE FRANKLIN INSTITUTE-ENGINEERING AND APPLIED MATHEMATICS</t>
  </si>
  <si>
    <t>Wang, JR; Sun, QR; Zhou, CQ</t>
  </si>
  <si>
    <t>Insider Threat Detection Based on Deep Clustering of Multi-Source Behavioral Events</t>
  </si>
  <si>
    <t>Tao, XL; Yu, YL; Fu, LY; Liu, JX; Zhang, YH</t>
  </si>
  <si>
    <t>An insider user authentication method based on improved temporal convolutional network</t>
  </si>
  <si>
    <t>HIGH-CONFIDENCE COMPUTING</t>
  </si>
  <si>
    <t>Saminathan, K; Mulka, STR; Damodharan, S; Maheswar, R; Lorincz, J</t>
  </si>
  <si>
    <t>An Artificial Neural Network Autoencoder for Insider Cyber Security Threat Detection</t>
  </si>
  <si>
    <t>Adun, I.J.; Amadin, F.I.</t>
  </si>
  <si>
    <t>A Hybrid Supervised Machine Learning Model for the Prediction of Insider Threats</t>
  </si>
  <si>
    <t>NIPES - Journal of Science and Technology Research</t>
  </si>
  <si>
    <t>Kabir, M.H.; Hasnat, A.; Mahdi, A.J.; Hasan, M.N.; Chowdhury, J.A.; Fahim, I.M.</t>
  </si>
  <si>
    <t>Enhancing Insider Malware Detection Accuracy with Machine Learning Algorithms †</t>
  </si>
  <si>
    <t>Engineering Proceedings</t>
  </si>
  <si>
    <t>Mehmood, M.; Amin, R.; Muslam, M.M.A.; Xie, J.; Aldabbas, H.</t>
  </si>
  <si>
    <t>Privilege Escalation Attack Detection and Mitigation in Cloud Using Machine Learning</t>
  </si>
  <si>
    <t>Wang, Z.Q.; El Saddik, A.</t>
  </si>
  <si>
    <t>DTITD: An Intelligent Insider Threat Detection Framework Based on Digital Twin and Self-Attention Based Deep Learning Models</t>
  </si>
  <si>
    <t>Asha; D, S.; G, P.</t>
  </si>
  <si>
    <t>Malicious insider threat detection using variation of sampling methods for anomaly detection in cloud environment</t>
  </si>
  <si>
    <t>Computers and Electrical Engineering</t>
  </si>
  <si>
    <t>Peccatiello, R.B.; Gondim, J.J.C.; Garcia, L.P.F.</t>
  </si>
  <si>
    <t>Applying One-Class Algorithms for Data Stream-Based Insider Threat Detection</t>
  </si>
  <si>
    <t>Sarhan, B.; Altwaijry, N.</t>
  </si>
  <si>
    <t>Insider Threat Detection Using Machine Learning Approach</t>
  </si>
  <si>
    <t>Applied Sciences (Switzerland)</t>
  </si>
  <si>
    <t>Amiri-Zarandi, M.; Karimipour, H.; Dara, R.A.</t>
  </si>
  <si>
    <t>A federated and explainable approach for insider threat detection in IoT</t>
  </si>
  <si>
    <t>Internet of Things (Netherlands)</t>
  </si>
  <si>
    <t>Al-Shehari, T.; Alsowail, R.A.</t>
  </si>
  <si>
    <t>Random resampling algorithms for addressing the imbalanced dataset classes in insider threat detection</t>
  </si>
  <si>
    <t>International Journal of Information Security</t>
  </si>
  <si>
    <t>Villarreal-Vasquez, M.; Modelo-Howard, G.; Dube, S.; Bhargava, B.</t>
  </si>
  <si>
    <t>Hunting for Insider Threats Using LSTM-Based Anomaly Detection</t>
  </si>
  <si>
    <t>Randive, K.D.; Ramasundaram, M.</t>
  </si>
  <si>
    <t>MWCapsNet: A novel Multi-level Wavelet Capsule Network for insider threat detection using image representations</t>
  </si>
  <si>
    <t>Neurocomputing</t>
  </si>
  <si>
    <t>Wen, X.; Dai, K.; Xiong, Q.; Chen, L.; Zhang, J.; Wang, Z.</t>
  </si>
  <si>
    <t>An approach to internal threats detection based on sentiment analysis and network analysis</t>
  </si>
  <si>
    <t>Xiao, J.; Yang, L.; Zhong, F.; Wang, X.; Chen, H.; Li, D.</t>
  </si>
  <si>
    <t>Robust Anomaly-Based Insider Threat Detection Using Graph Neural Network</t>
  </si>
  <si>
    <t>Kim, D.-W.; Shin, G.-Y.; Han, M.-M.</t>
  </si>
  <si>
    <t>Anomaly Detection Based on Discrete Wavelet Transformation for Insider Threat Classification</t>
  </si>
  <si>
    <t>Singh, M.; Mehtre, B.M.; Sangeetha, S.; Govindaraju, V.</t>
  </si>
  <si>
    <t>User Behaviour based Insider Threat Detection using a Hybrid Learning Approach</t>
  </si>
  <si>
    <t>Journal of Ambient Intelligence and Humanized Computing</t>
  </si>
  <si>
    <t>Jaiswal, Ayshwarya; Dwivedi, Pragya; Dewang, Rupesh Kumar</t>
  </si>
  <si>
    <t>Handling imbalance dataset issue in insider threat detection using machine learning methods</t>
  </si>
  <si>
    <t>Gayathri, R G; Sajjanhar, Atul; Xiang, Yong</t>
  </si>
  <si>
    <t>Hybrid deep learning model using SPCAGAN augmentation for insider threat analysis</t>
  </si>
  <si>
    <t>Song, S; Gao, N; Zhang, YF; Ma, CQ</t>
  </si>
  <si>
    <t>BRITD: behavior rhythm insider threat detection with time awareness and user adaptation</t>
  </si>
  <si>
    <t>Manoharan, P; Yin, J; Wang, H; Zhang, YC; Ye, WJ</t>
  </si>
  <si>
    <t>Insider threat detection using supervised machine learning algorithms</t>
  </si>
  <si>
    <t>TELECOMMUNICATION SYSTEMS</t>
  </si>
  <si>
    <t>Anju, A.; Krishnamurthy, M.</t>
  </si>
  <si>
    <t>M-EOS: modified-equilibrium optimization-based stacked CNN for insider threat detection</t>
  </si>
  <si>
    <t>Wireless Networks</t>
  </si>
  <si>
    <t>Wei, Z.; Rauf, U.; Mohsen, F.</t>
  </si>
  <si>
    <t>E-Watcher: insider threat monitoring and detection for enhanced security</t>
  </si>
  <si>
    <t>Nikiforova, O.; Romanovs, A.; Zabiniako, V.; Kornienko, J.</t>
  </si>
  <si>
    <t>Detecting and Identifying Insider Threats Based on Advanced Clustering Methods</t>
  </si>
  <si>
    <t>Almusawy, B.; Alrammahi, A.A.H.</t>
  </si>
  <si>
    <t>Insider Detection Using Combination of Machine Learning and Expert Policies</t>
  </si>
  <si>
    <t>International Journal of Electrical and Electronic Engineering and Telecommunications</t>
  </si>
  <si>
    <t>Li, X.; Li, L.; Li, X.; Cai, B.; Jia, J.; Gao, Y.; Yu, S.</t>
  </si>
  <si>
    <t>GMFITD: Graph Meta-Learning for Effective Few-Shot Insider Threat Detection</t>
  </si>
  <si>
    <t>Tabassum, M.; Mahmood, S.; Bukhari, A.; Alshemaimri, B.; Daud, A.; Khalique, F.</t>
  </si>
  <si>
    <t>Anomaly-based threat detection in smart health using machine learning</t>
  </si>
  <si>
    <t>BMC Medical Informatics and Decision Making</t>
  </si>
  <si>
    <t>Duan, S.-M.; Yuan, J.-T.; Wang, B.</t>
  </si>
  <si>
    <t>Contextual feature representation for image-based insider threat classification</t>
  </si>
  <si>
    <t>Computers and Security</t>
  </si>
  <si>
    <t>Xiao, H.; Zhu, Y.; Zhang, B.; Lu, Z.; Du, D.; Liu, Y.</t>
  </si>
  <si>
    <t>Unveiling shadows: A comprehensive framework for insider threat detection based on statistical and sequential analysis</t>
  </si>
  <si>
    <t>Budžys, A.; Kurasova, O.; Medvedev, V.</t>
  </si>
  <si>
    <t>Deep learning-based authentication for insider threat detection in critical infrastructure</t>
  </si>
  <si>
    <t>Artificial Intelligence Review</t>
  </si>
  <si>
    <t>Mladenovic, D.; Antonijevic, M.; Jovanovic, L.; Simic, V.; Zivkovic, M.; Bacanin, N.; Zivkovic, T.; Perisic, J.</t>
  </si>
  <si>
    <t>Sentiment classification for insider threat identification using metaheuristic optimized machine learning classifiers</t>
  </si>
  <si>
    <t>Scientific Reports</t>
  </si>
  <si>
    <t>Lavanya, P.; Anila Glory, H.; Shankar Sriram, V.S.</t>
  </si>
  <si>
    <t>Mitigating Insider Threat: A Neural Network Approach for Enhanced Security</t>
  </si>
  <si>
    <t>He, D.; Lv, X.; Xu, X.; Chan, S.; Choo, K.-K.R.</t>
  </si>
  <si>
    <t>Double-Layer Detection of Internal Threat in Enterprise Systems Based on Deep Learning</t>
  </si>
  <si>
    <t>Al-Shehari, T.; Kadrie, M.; Al-Mhiqani, M.N.; Alfakih, T.; Alsalman, H.; Uddin, M.; Ullah, S.S.; Dandoush, A.</t>
  </si>
  <si>
    <t>Comparative evaluation of data imbalance addressing techniques for CNN-based insider threat detection</t>
  </si>
  <si>
    <t>Zhu, X.; Dong, J.; Qi, J.; Zhou, Z.; Dong, Z.; Sun, Y.; Wang, M.</t>
  </si>
  <si>
    <t>AUTH: An Adversarial Autoencoder Based Unsupervised Insider Threat Detection Scheme for Multisource Logs</t>
  </si>
  <si>
    <t>IEEE Transactions on Industrial Informatics</t>
  </si>
  <si>
    <t>Cai, X.; Wang, Y.; Xu, S.; Li, H.; Zhang, Y.; Liu, Z.; Yuan, X.</t>
  </si>
  <si>
    <t>LAN: Learning Adaptive Neighbors for Real-Time Insider Threat Detection</t>
  </si>
  <si>
    <t>Prasad, P.S.S.; Nayak, S.K.; Krishna, M.V.</t>
  </si>
  <si>
    <t>ENHANCED INSIDER THREAT DETECTION THROUGH MACHINE LEARNING APPROACH WITH IMBALANCED DATA RESOLUTION</t>
  </si>
  <si>
    <t>Journal of Theoretical and Applied Information Technology</t>
  </si>
  <si>
    <t>Wang, Z.; Wang, H.; El Saddik, A.</t>
  </si>
  <si>
    <t>FedITD: A Federated Parameter-Efficient Tuning With Pre-Trained Large Language Models and Transfer Learning Framework for Insider Threat Detection</t>
  </si>
  <si>
    <t>Tian, Z.; Shi, W.; Tan, Z.; Qiu, J.; Sun, Y.; Jiang, F.; Liu, Y.</t>
  </si>
  <si>
    <t>Deep Learning and Dempster-Shafer Theory Based Insider Threat Detection</t>
  </si>
  <si>
    <t>Mobile Networks and Applications</t>
  </si>
  <si>
    <t>Ding, J.; Qian, P.; Ma, J.; Wang, Z.; Lu, Y.; Xie, X.</t>
  </si>
  <si>
    <t>Detect Insider Threat with Associated Session Graph</t>
  </si>
  <si>
    <t>Electronics (Switzerland)</t>
  </si>
  <si>
    <t>Al-Shehari, T.A.; Rosaci, D.; Al-Razgan, M.; Alfakih, T.; Kadrie, M.; Afzal, H.; Nawaz, R.</t>
  </si>
  <si>
    <t>Enhancing Insider Threat Detection in Imbalanced Cybersecurity Settings Using the Density-Based Local Outlier Factor Algorithm</t>
  </si>
  <si>
    <t>Yi, J.; Tian, Y.</t>
  </si>
  <si>
    <t>Insider Threat Detection Model Enhancement Using Hybrid Algorithms between Unsupervised and Supervised Learning</t>
  </si>
  <si>
    <t>Pérez-Gomariz, Mario; Cerdán-Cartagena, Fernando; García, Jess</t>
  </si>
  <si>
    <t>LM-Hunter: An NLP-powered graph method for detecting adversary lateral movements in APT cyber-attacks at scale</t>
  </si>
  <si>
    <t>Computer Networks</t>
  </si>
  <si>
    <t>Ferraro, Antonino; Orlando, Gian Marco; Russo, Diego</t>
  </si>
  <si>
    <t>Generative Agent-Based Modeling with Large Language Models for insider threat detection</t>
  </si>
  <si>
    <t>Engineering Applications of Artificial Intelligence</t>
  </si>
  <si>
    <t>Tao, Xiaoling; Liu, Jianxiang; Yu, Yuelin; Zhang, Haijing; Huang, Ying</t>
  </si>
  <si>
    <t>An insider threat detection method based on improved Test-Time Training model</t>
  </si>
  <si>
    <t>High-Confidence Computing</t>
  </si>
  <si>
    <t>Qi, Yinhao; Yan, Chuyi; Wang, Zehui; Zhang, Chen; Liu, Song; Lu, Zhigang; Jiang, Bo</t>
  </si>
  <si>
    <t>ATHITD: Attention-based temporal heterogeneous graph neural network for insider threat detection</t>
  </si>
  <si>
    <t>Fei, Kexiong; Zhou, Jiang; Zhou, Yucan; Gu, Xiaoyan; Fan, Haihui; Li, Bo; Wang, Weiping; Chen, Yong</t>
  </si>
  <si>
    <t>LaAeb: A comprehensive log-text analysis based approach for insider threat detection</t>
  </si>
  <si>
    <t>Xiao, FR; Chen, SW; Chen, SY; Ma, YY; He, HS; Yang, J</t>
  </si>
  <si>
    <t>SENTINEL: Insider Threat Detection Based on Multi-Timescale User Behavior Interaction Graph Learning</t>
  </si>
  <si>
    <t>IEEE TRANSACTIONS ON NETWORK SCIENCE AND ENGINEERING</t>
  </si>
  <si>
    <t>Sivakrishna, AM; Mohan, R; Rohini, V</t>
  </si>
  <si>
    <t>An Efficient Insider Threat Detection Framework Using Bayesian-Optimized XGBoost</t>
  </si>
  <si>
    <t>SECURITY AND PRIVACY</t>
  </si>
  <si>
    <t>Kong, KC; Jin, XB; Liu, DJ; Xu, SJ; Liu, ZQ; Geng, GG</t>
  </si>
  <si>
    <t>DPI-ITD: A Dual-Perspective Information-Driven Framework for Insider Threat Detection in IoT Systems</t>
  </si>
  <si>
    <t>IEEE INTERNET OF THINGS JOURNAL</t>
  </si>
  <si>
    <t>Senevirathna, DH; Gunasekara, WMM; Gunawardhana, KPAT; Ashra, MFF; Fernando, H; Abeywardena, KY</t>
  </si>
  <si>
    <t>Enhancing Organizational Threat Profiling by Employing Deep Learning with Physical Security Systems and Human Behavior Analysis</t>
  </si>
  <si>
    <t>Kotb, HM; Gaber, T; Aljanah, S; Zawbaa, HM; Alkhathami, M</t>
  </si>
  <si>
    <t>A novel deep synthesis-based insider intrusion detection (DS-IID) model for malicious insiders and AI-generated threats</t>
  </si>
  <si>
    <t>Matos, M.; Gomes, F.; Nogueira, F.; Almeida, F.</t>
  </si>
  <si>
    <t>Energy-efficient meta-classifier model for log access anomaly detection in healthcare systems</t>
  </si>
  <si>
    <t>International Journal of Intelligent Computing and Cybernetics</t>
  </si>
  <si>
    <t>Qawasmeh, S.A.-D.; AlQahtani, A.A.S.</t>
  </si>
  <si>
    <t>Beyond Firewall: Leveraging Machine Learning for Real-Time Insider Threats Identification and User Profiling</t>
  </si>
  <si>
    <t>Future Internet</t>
  </si>
  <si>
    <t>Gayathri, B.</t>
  </si>
  <si>
    <t>ITD-GMJN: Insider Thread Detection in Cloud Computing using Golf Optimized MICE based Jordan Neural Network</t>
  </si>
  <si>
    <t>International Journal of Computer Network and Information Security</t>
  </si>
  <si>
    <t>Prasad, P.S.S.; Nayak, S.K.; Vamsi Krishna, M.</t>
  </si>
  <si>
    <t>Insider Threat Detection Using Behavioural Analysis through Machine Learning and Deep Learning Techniques</t>
  </si>
  <si>
    <t>International Research Journal of Multidisciplinary Technovation</t>
  </si>
  <si>
    <t>Gayathri, R.G.; Sajjanhar, A.; Xiang, Y.</t>
  </si>
  <si>
    <t>Adversarial Training for Mitigating Insider-Driven XAI-Based Backdoor Attacks</t>
  </si>
  <si>
    <t>Lilhore, U.K.; Simaiya, S.; Alroobaea, R.; Baqasah, A.M.; Alsafyani, M.; Alhazmi, A.; Khan, M.M.</t>
  </si>
  <si>
    <t>SmartTrust: a hybrid deep learning framework for real-time threat detection in cloud environments using Zero-Trust Architecture</t>
  </si>
  <si>
    <t>Journal of Cloud Computing</t>
  </si>
  <si>
    <t>Patel, T.; Iyer, S.S.</t>
  </si>
  <si>
    <t>SiaDNN: Siamese deep neural network for anomaly detection in user behavior</t>
  </si>
  <si>
    <t>Knowledge-Based Systems</t>
  </si>
  <si>
    <t>Hybrid Machine Learning for Enhanced Insider Threat Detection Using Generative Latent Features</t>
  </si>
  <si>
    <t>International Journal of Engineering Trends and Technology</t>
  </si>
  <si>
    <t>Gonzales, O.; Yang, K.; Huang, S.</t>
  </si>
  <si>
    <t>Contextual Sequence-Based User Behavior Anomaly Detection</t>
  </si>
  <si>
    <t>Dong, J.; Wei, J.; Hu, X.; Dong, Z.; Chen, F.; Hu, X.; Qi, J.</t>
  </si>
  <si>
    <t>DDCC: Synergizing Denoising Diffusion Probabilistic Models and Curriculum-Based Complexity Control for Insider Threat Detection</t>
  </si>
  <si>
    <t>Liu, H.; Liu, M.; Han, L.; Sun, H.; Fu, C.</t>
  </si>
  <si>
    <t>Ripple2Detect: A semantic similarity learning based framework for insider threat multi-step evidence detection</t>
  </si>
  <si>
    <t>Feng, W.; Cao, Y.; Chen, Y.; Wang, Y.; Hu, N.; Jia, Y.; Gu, Z.</t>
  </si>
  <si>
    <t>Multi-Granularity User Anomalous Behavior Detection</t>
  </si>
  <si>
    <t>Medvedev, V.; Budžys, A.; Kurasova, O.</t>
  </si>
  <si>
    <t>A decision-making framework for user authentication using keystroke dynamics</t>
  </si>
  <si>
    <t>Yumlembam, R.; Issac, B.; Jacob, S.M.; Yang, L.; Krishnan, D.</t>
  </si>
  <si>
    <t>Insider Threat Detection Using GCN and Bi-LSTM with Explicit and Implicit Graph Representations</t>
  </si>
  <si>
    <t>IEEE Transactions on Artificial Intelligence</t>
  </si>
  <si>
    <t>Tian, T.; Zhang, C.; Jiang, B.; Feng, H.; Lu, Z.</t>
  </si>
  <si>
    <t>Insider threat detection for specific threat scenarios</t>
  </si>
  <si>
    <t>Cybersecurity</t>
  </si>
  <si>
    <t>Kamatchi, K.; Uma, E.</t>
  </si>
  <si>
    <t>Securing the edge: privacy-preserving federated learning for insider threats in IoT networks</t>
  </si>
  <si>
    <t>Journal of Supercomputing</t>
  </si>
  <si>
    <t>Ahmad, W.</t>
  </si>
  <si>
    <t>Unveiling Anomalies: Leveraging Machine Learning for Internal User Behaviour Analysis – Top 10 Use Cases</t>
  </si>
  <si>
    <t>International Journal of Innovative Technology and Interdisciplinary Sciences</t>
  </si>
  <si>
    <t>Ye, X.; Luo, F.; Cui, H.; Wang, J.; Xiong, X.; Zhang, W.; Yu, J.; Zhao, W.</t>
  </si>
  <si>
    <t>Research on insider threat detection based on personalized federated learning and behavior log analysis</t>
  </si>
  <si>
    <t>Ahmadi, S.</t>
  </si>
  <si>
    <t>Autonomous identity-based threat segmentation for zero trust architecture</t>
  </si>
  <si>
    <t>Cyber Security and Applications</t>
  </si>
  <si>
    <t>Ali, S.; Deverill, H.; Lindquist, J.; Roginski, J.</t>
  </si>
  <si>
    <t>Human and machine partnership: natural language processing of army insider threat hub data</t>
  </si>
  <si>
    <t>International Journal of Applied Decision Sciences</t>
  </si>
  <si>
    <t>Huang, Z.; Li, X.; Cao, X.; Chen, K.; Wang, L.; Bo-Yee Liu, L.</t>
  </si>
  <si>
    <t>IDU-Detector: A Synergistic Framework for Robust Masquerader Attack Detection</t>
  </si>
  <si>
    <t>IEEE Internet of Things Journal</t>
  </si>
  <si>
    <t>Al‐shehari, T.; Alsowail, R.A.</t>
  </si>
  <si>
    <t>An insider data leakage detection using one‐hot encoding, synthetic minority oversampling and machine learning techniques</t>
  </si>
  <si>
    <t>Journal / Publication Title</t>
  </si>
  <si>
    <t>Publications</t>
  </si>
  <si>
    <t>Int. Journal of Advanced Computer Science and Applications (IJACSA)</t>
  </si>
  <si>
    <t>Annals of Telecommunications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</si>
</sst>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rgb="FF1F1F1F"/>
      <name val="Arial"/>
      <family val="2"/>
      <scheme val="minor"/>
    </font>
    <font>
      <b/>
      <sz val="11"/>
      <color rgb="FF1F1F1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ar-OM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'Publication Year'!$C$5:$C$9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1C-4444-8AAA-F1E88F5C56B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ar-OM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'Publication Year'!$D$5:$D$9</c:f>
              <c:numCache>
                <c:formatCode>General</c:formatCode>
                <c:ptCount val="5"/>
                <c:pt idx="0">
                  <c:v>15</c:v>
                </c:pt>
                <c:pt idx="1">
                  <c:v>13</c:v>
                </c:pt>
                <c:pt idx="2">
                  <c:v>26</c:v>
                </c:pt>
                <c:pt idx="3">
                  <c:v>25</c:v>
                </c:pt>
                <c:pt idx="4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1C-4444-8AAA-F1E88F5C56B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600477663"/>
        <c:axId val="600481503"/>
        <c:axId val="0"/>
      </c:bar3DChart>
      <c:catAx>
        <c:axId val="600477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600481503"/>
        <c:crosses val="autoZero"/>
        <c:auto val="1"/>
        <c:lblAlgn val="ctr"/>
        <c:lblOffset val="100"/>
        <c:noMultiLvlLbl val="0"/>
      </c:catAx>
      <c:valAx>
        <c:axId val="6004815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00477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5 Journals'!$C$3</c:f>
              <c:strCache>
                <c:ptCount val="1"/>
                <c:pt idx="0">
                  <c:v>Publications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5 Journals'!$B$4:$B$8</c:f>
              <c:strCache>
                <c:ptCount val="5"/>
                <c:pt idx="0">
                  <c:v>IEEE Access</c:v>
                </c:pt>
                <c:pt idx="1">
                  <c:v>Computers &amp; Security</c:v>
                </c:pt>
                <c:pt idx="2">
                  <c:v>IEEE Transactions on Information Forensics and Security</c:v>
                </c:pt>
                <c:pt idx="3">
                  <c:v>Scientific Reports</c:v>
                </c:pt>
                <c:pt idx="4">
                  <c:v>Int. Journal of Advanced Computer Science and Applications (IJACSA)</c:v>
                </c:pt>
              </c:strCache>
            </c:strRef>
          </c:cat>
          <c:val>
            <c:numRef>
              <c:f>'Top 5 Journals'!$C$4:$C$8</c:f>
              <c:numCache>
                <c:formatCode>General</c:formatCode>
                <c:ptCount val="5"/>
                <c:pt idx="0">
                  <c:v>11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D7-4CEC-B6B6-EB56596BD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0540479"/>
        <c:axId val="420540959"/>
      </c:barChart>
      <c:catAx>
        <c:axId val="420540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420540959"/>
        <c:crosses val="autoZero"/>
        <c:auto val="1"/>
        <c:lblAlgn val="ctr"/>
        <c:lblOffset val="100"/>
        <c:noMultiLvlLbl val="0"/>
      </c:catAx>
      <c:valAx>
        <c:axId val="420540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420540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234950</xdr:colOff>
      <xdr:row>2</xdr:row>
      <xdr:rowOff>69850</xdr:rowOff>
    </xdr:from>
    <xdr:to>
      <xdr:col>12</xdr:col>
      <xdr:colOff>184150</xdr:colOff>
      <xdr:row>17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8486BB-19FB-42EB-F22E-9AAC816F5F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603250</xdr:colOff>
      <xdr:row>2</xdr:row>
      <xdr:rowOff>6350</xdr:rowOff>
    </xdr:from>
    <xdr:to>
      <xdr:col>10</xdr:col>
      <xdr:colOff>552450</xdr:colOff>
      <xdr:row>11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E2D9E3-9836-66FF-FD81-3FB59B53DD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65D54-38CD-41E8-83D5-772ABB9BC4EC}">
  <dimension ref="B1:E111"/>
  <sheetViews>
    <sheetView workbookViewId="0">
      <selection activeCell="C2" sqref="C2"/>
    </sheetView>
  </sheetViews>
  <sheetFormatPr defaultRowHeight="14" x14ac:dyDescent="0.3"/>
  <cols>
    <col min="2" max="2" width="10.08203125" customWidth="1"/>
    <col min="3" max="3" width="30.4140625" customWidth="1"/>
    <col min="4" max="4" width="40" customWidth="1"/>
    <col min="5" max="5" width="84.33203125" customWidth="1"/>
  </cols>
  <sheetData>
    <row r="1" spans="2:5" x14ac:dyDescent="0.3">
      <c r="B1" t="s">
        <v>3</v>
      </c>
      <c r="C1" t="s">
        <v>4</v>
      </c>
      <c r="D1" t="s">
        <v>5</v>
      </c>
      <c r="E1" t="s">
        <v>6</v>
      </c>
    </row>
    <row r="2" spans="2:5" x14ac:dyDescent="0.3">
      <c r="B2">
        <v>2024</v>
      </c>
      <c r="C2" t="s">
        <v>161</v>
      </c>
      <c r="D2" t="s">
        <v>162</v>
      </c>
      <c r="E2" t="s">
        <v>296</v>
      </c>
    </row>
    <row r="3" spans="2:5" x14ac:dyDescent="0.3">
      <c r="B3">
        <v>2023</v>
      </c>
      <c r="C3" t="s">
        <v>126</v>
      </c>
      <c r="D3" t="s">
        <v>127</v>
      </c>
      <c r="E3" t="s">
        <v>128</v>
      </c>
    </row>
    <row r="4" spans="2:5" x14ac:dyDescent="0.3">
      <c r="B4">
        <v>2025</v>
      </c>
      <c r="C4" t="s">
        <v>264</v>
      </c>
      <c r="D4" t="s">
        <v>265</v>
      </c>
      <c r="E4" t="s">
        <v>128</v>
      </c>
    </row>
    <row r="5" spans="2:5" x14ac:dyDescent="0.3">
      <c r="B5">
        <v>2023</v>
      </c>
      <c r="C5" t="s">
        <v>104</v>
      </c>
      <c r="D5" t="s">
        <v>105</v>
      </c>
      <c r="E5" t="s">
        <v>128</v>
      </c>
    </row>
    <row r="6" spans="2:5" x14ac:dyDescent="0.3">
      <c r="B6">
        <v>2024</v>
      </c>
      <c r="C6" t="s">
        <v>178</v>
      </c>
      <c r="D6" t="s">
        <v>179</v>
      </c>
      <c r="E6" t="s">
        <v>180</v>
      </c>
    </row>
    <row r="7" spans="2:5" x14ac:dyDescent="0.3">
      <c r="B7">
        <v>2024</v>
      </c>
      <c r="C7" t="s">
        <v>170</v>
      </c>
      <c r="D7" t="s">
        <v>171</v>
      </c>
      <c r="E7" t="s">
        <v>172</v>
      </c>
    </row>
    <row r="8" spans="2:5" x14ac:dyDescent="0.3">
      <c r="B8">
        <v>2025</v>
      </c>
      <c r="C8" t="s">
        <v>210</v>
      </c>
      <c r="D8" t="s">
        <v>211</v>
      </c>
      <c r="E8" t="s">
        <v>212</v>
      </c>
    </row>
    <row r="9" spans="2:5" x14ac:dyDescent="0.3">
      <c r="B9">
        <v>2022</v>
      </c>
      <c r="C9" t="s">
        <v>53</v>
      </c>
      <c r="D9" t="s">
        <v>54</v>
      </c>
      <c r="E9" t="s">
        <v>55</v>
      </c>
    </row>
    <row r="10" spans="2:5" x14ac:dyDescent="0.3">
      <c r="B10">
        <v>2023</v>
      </c>
      <c r="C10" t="s">
        <v>144</v>
      </c>
      <c r="D10" t="s">
        <v>145</v>
      </c>
      <c r="E10" t="s">
        <v>55</v>
      </c>
    </row>
    <row r="11" spans="2:5" x14ac:dyDescent="0.3">
      <c r="B11">
        <v>2022</v>
      </c>
      <c r="C11" t="s">
        <v>47</v>
      </c>
      <c r="D11" t="s">
        <v>48</v>
      </c>
      <c r="E11" t="s">
        <v>49</v>
      </c>
    </row>
    <row r="12" spans="2:5" x14ac:dyDescent="0.3">
      <c r="B12">
        <v>2023</v>
      </c>
      <c r="C12" t="s">
        <v>86</v>
      </c>
      <c r="D12" t="s">
        <v>87</v>
      </c>
      <c r="E12" t="s">
        <v>88</v>
      </c>
    </row>
    <row r="13" spans="2:5" x14ac:dyDescent="0.3">
      <c r="B13">
        <v>2023</v>
      </c>
      <c r="C13" t="s">
        <v>89</v>
      </c>
      <c r="D13" t="s">
        <v>90</v>
      </c>
      <c r="E13" t="s">
        <v>88</v>
      </c>
    </row>
    <row r="14" spans="2:5" x14ac:dyDescent="0.3">
      <c r="B14">
        <v>2025</v>
      </c>
      <c r="C14" t="s">
        <v>219</v>
      </c>
      <c r="D14" t="s">
        <v>220</v>
      </c>
      <c r="E14" t="s">
        <v>88</v>
      </c>
    </row>
    <row r="15" spans="2:5" x14ac:dyDescent="0.3">
      <c r="B15">
        <v>2025</v>
      </c>
      <c r="C15" t="s">
        <v>221</v>
      </c>
      <c r="D15" t="s">
        <v>222</v>
      </c>
      <c r="E15" t="s">
        <v>88</v>
      </c>
    </row>
    <row r="16" spans="2:5" x14ac:dyDescent="0.3">
      <c r="B16">
        <v>2023</v>
      </c>
      <c r="C16" t="s">
        <v>121</v>
      </c>
      <c r="D16" t="s">
        <v>122</v>
      </c>
      <c r="E16" t="s">
        <v>123</v>
      </c>
    </row>
    <row r="17" spans="2:5" x14ac:dyDescent="0.3">
      <c r="B17">
        <v>2024</v>
      </c>
      <c r="C17" t="s">
        <v>149</v>
      </c>
      <c r="D17" t="s">
        <v>150</v>
      </c>
      <c r="E17" t="s">
        <v>123</v>
      </c>
    </row>
    <row r="18" spans="2:5" x14ac:dyDescent="0.3">
      <c r="B18">
        <v>2024</v>
      </c>
      <c r="C18" t="s">
        <v>173</v>
      </c>
      <c r="D18" t="s">
        <v>174</v>
      </c>
      <c r="E18" t="s">
        <v>175</v>
      </c>
    </row>
    <row r="19" spans="2:5" x14ac:dyDescent="0.3">
      <c r="B19">
        <v>2024</v>
      </c>
      <c r="C19" t="s">
        <v>176</v>
      </c>
      <c r="D19" t="s">
        <v>177</v>
      </c>
      <c r="E19" t="s">
        <v>175</v>
      </c>
    </row>
    <row r="20" spans="2:5" x14ac:dyDescent="0.3">
      <c r="B20">
        <v>2025</v>
      </c>
      <c r="C20" t="s">
        <v>262</v>
      </c>
      <c r="D20" t="s">
        <v>263</v>
      </c>
      <c r="E20" t="s">
        <v>175</v>
      </c>
    </row>
    <row r="21" spans="2:5" x14ac:dyDescent="0.3">
      <c r="B21">
        <v>2025</v>
      </c>
      <c r="C21" t="s">
        <v>266</v>
      </c>
      <c r="D21" t="s">
        <v>267</v>
      </c>
      <c r="E21" t="s">
        <v>175</v>
      </c>
    </row>
    <row r="22" spans="2:5" x14ac:dyDescent="0.3">
      <c r="B22">
        <v>2025</v>
      </c>
      <c r="C22" t="s">
        <v>282</v>
      </c>
      <c r="D22" t="s">
        <v>283</v>
      </c>
      <c r="E22" t="s">
        <v>284</v>
      </c>
    </row>
    <row r="23" spans="2:5" x14ac:dyDescent="0.3">
      <c r="B23">
        <v>2024</v>
      </c>
      <c r="C23" t="s">
        <v>153</v>
      </c>
      <c r="D23" t="s">
        <v>154</v>
      </c>
      <c r="E23" t="s">
        <v>273</v>
      </c>
    </row>
    <row r="24" spans="2:5" x14ac:dyDescent="0.3">
      <c r="B24">
        <v>2025</v>
      </c>
      <c r="C24" t="s">
        <v>271</v>
      </c>
      <c r="D24" t="s">
        <v>272</v>
      </c>
      <c r="E24" t="s">
        <v>273</v>
      </c>
    </row>
    <row r="25" spans="2:5" x14ac:dyDescent="0.3">
      <c r="B25">
        <v>2024</v>
      </c>
      <c r="C25" t="s">
        <v>203</v>
      </c>
      <c r="D25" t="s">
        <v>204</v>
      </c>
      <c r="E25" t="s">
        <v>205</v>
      </c>
    </row>
    <row r="26" spans="2:5" x14ac:dyDescent="0.3">
      <c r="B26">
        <v>2024</v>
      </c>
      <c r="C26" t="s">
        <v>208</v>
      </c>
      <c r="D26" t="s">
        <v>209</v>
      </c>
      <c r="E26" t="s">
        <v>205</v>
      </c>
    </row>
    <row r="27" spans="2:5" x14ac:dyDescent="0.3">
      <c r="B27">
        <v>2025</v>
      </c>
      <c r="C27" t="s">
        <v>213</v>
      </c>
      <c r="D27" t="s">
        <v>214</v>
      </c>
      <c r="E27" t="s">
        <v>215</v>
      </c>
    </row>
    <row r="28" spans="2:5" x14ac:dyDescent="0.3">
      <c r="B28">
        <v>2023</v>
      </c>
      <c r="C28" t="s">
        <v>114</v>
      </c>
      <c r="D28" t="s">
        <v>115</v>
      </c>
      <c r="E28" t="s">
        <v>116</v>
      </c>
    </row>
    <row r="29" spans="2:5" x14ac:dyDescent="0.3">
      <c r="B29">
        <v>2021</v>
      </c>
      <c r="C29" t="s">
        <v>291</v>
      </c>
      <c r="D29" t="s">
        <v>292</v>
      </c>
      <c r="E29" t="s">
        <v>26</v>
      </c>
    </row>
    <row r="30" spans="2:5" x14ac:dyDescent="0.3">
      <c r="B30">
        <v>2023</v>
      </c>
      <c r="C30" t="s">
        <v>93</v>
      </c>
      <c r="D30" t="s">
        <v>94</v>
      </c>
      <c r="E30" t="s">
        <v>95</v>
      </c>
    </row>
    <row r="31" spans="2:5" x14ac:dyDescent="0.3">
      <c r="B31">
        <v>2024</v>
      </c>
      <c r="C31" t="s">
        <v>151</v>
      </c>
      <c r="D31" t="s">
        <v>152</v>
      </c>
      <c r="E31" t="s">
        <v>95</v>
      </c>
    </row>
    <row r="32" spans="2:5" x14ac:dyDescent="0.3">
      <c r="B32">
        <v>2021</v>
      </c>
      <c r="C32" t="s">
        <v>7</v>
      </c>
      <c r="D32" t="s">
        <v>8</v>
      </c>
      <c r="E32" t="s">
        <v>9</v>
      </c>
    </row>
    <row r="33" spans="2:5" x14ac:dyDescent="0.3">
      <c r="B33">
        <v>2021</v>
      </c>
      <c r="C33" t="s">
        <v>10</v>
      </c>
      <c r="D33" t="s">
        <v>11</v>
      </c>
      <c r="E33" t="s">
        <v>12</v>
      </c>
    </row>
    <row r="34" spans="2:5" x14ac:dyDescent="0.3">
      <c r="B34">
        <v>2021</v>
      </c>
      <c r="C34" t="s">
        <v>33</v>
      </c>
      <c r="D34" t="s">
        <v>34</v>
      </c>
      <c r="E34" t="s">
        <v>12</v>
      </c>
    </row>
    <row r="35" spans="2:5" x14ac:dyDescent="0.3">
      <c r="B35">
        <v>2023</v>
      </c>
      <c r="C35" t="s">
        <v>109</v>
      </c>
      <c r="D35" t="s">
        <v>110</v>
      </c>
      <c r="E35" t="s">
        <v>241</v>
      </c>
    </row>
    <row r="36" spans="2:5" x14ac:dyDescent="0.3">
      <c r="B36">
        <v>2025</v>
      </c>
      <c r="C36" t="s">
        <v>239</v>
      </c>
      <c r="D36" t="s">
        <v>240</v>
      </c>
      <c r="E36" t="s">
        <v>241</v>
      </c>
    </row>
    <row r="37" spans="2:5" x14ac:dyDescent="0.3">
      <c r="B37">
        <v>2025</v>
      </c>
      <c r="C37" t="s">
        <v>248</v>
      </c>
      <c r="D37" t="s">
        <v>249</v>
      </c>
      <c r="E37" t="s">
        <v>241</v>
      </c>
    </row>
    <row r="38" spans="2:5" x14ac:dyDescent="0.3">
      <c r="B38">
        <v>2023</v>
      </c>
      <c r="C38" t="s">
        <v>106</v>
      </c>
      <c r="D38" t="s">
        <v>107</v>
      </c>
      <c r="E38" t="s">
        <v>108</v>
      </c>
    </row>
    <row r="39" spans="2:5" x14ac:dyDescent="0.3">
      <c r="B39">
        <v>2025</v>
      </c>
      <c r="C39" t="s">
        <v>216</v>
      </c>
      <c r="D39" t="s">
        <v>217</v>
      </c>
      <c r="E39" t="s">
        <v>218</v>
      </c>
    </row>
    <row r="40" spans="2:5" x14ac:dyDescent="0.3">
      <c r="B40">
        <v>2021</v>
      </c>
      <c r="C40" t="s">
        <v>16</v>
      </c>
      <c r="D40" t="s">
        <v>17</v>
      </c>
      <c r="E40" t="s">
        <v>61</v>
      </c>
    </row>
    <row r="41" spans="2:5" x14ac:dyDescent="0.3">
      <c r="B41">
        <v>2022</v>
      </c>
      <c r="C41" t="s">
        <v>59</v>
      </c>
      <c r="D41" t="s">
        <v>60</v>
      </c>
      <c r="E41" t="s">
        <v>61</v>
      </c>
    </row>
    <row r="42" spans="2:5" x14ac:dyDescent="0.3">
      <c r="B42">
        <v>2023</v>
      </c>
      <c r="C42" t="s">
        <v>99</v>
      </c>
      <c r="D42" t="s">
        <v>100</v>
      </c>
      <c r="E42" t="s">
        <v>61</v>
      </c>
    </row>
    <row r="43" spans="2:5" x14ac:dyDescent="0.3">
      <c r="B43">
        <v>2023</v>
      </c>
      <c r="C43" t="s">
        <v>117</v>
      </c>
      <c r="D43" t="s">
        <v>118</v>
      </c>
      <c r="E43" t="s">
        <v>61</v>
      </c>
    </row>
    <row r="44" spans="2:5" x14ac:dyDescent="0.3">
      <c r="B44">
        <v>2023</v>
      </c>
      <c r="C44" t="s">
        <v>119</v>
      </c>
      <c r="D44" t="s">
        <v>120</v>
      </c>
      <c r="E44" t="s">
        <v>61</v>
      </c>
    </row>
    <row r="45" spans="2:5" x14ac:dyDescent="0.3">
      <c r="B45">
        <v>2023</v>
      </c>
      <c r="C45" t="s">
        <v>124</v>
      </c>
      <c r="D45" t="s">
        <v>125</v>
      </c>
      <c r="E45" t="s">
        <v>61</v>
      </c>
    </row>
    <row r="46" spans="2:5" x14ac:dyDescent="0.3">
      <c r="B46">
        <v>2024</v>
      </c>
      <c r="C46" t="s">
        <v>163</v>
      </c>
      <c r="D46" t="s">
        <v>164</v>
      </c>
      <c r="E46" t="s">
        <v>61</v>
      </c>
    </row>
    <row r="47" spans="2:5" x14ac:dyDescent="0.3">
      <c r="B47">
        <v>2024</v>
      </c>
      <c r="C47" t="s">
        <v>184</v>
      </c>
      <c r="D47" t="s">
        <v>185</v>
      </c>
      <c r="E47" t="s">
        <v>61</v>
      </c>
    </row>
    <row r="48" spans="2:5" x14ac:dyDescent="0.3">
      <c r="B48">
        <v>2024</v>
      </c>
      <c r="C48" t="s">
        <v>198</v>
      </c>
      <c r="D48" t="s">
        <v>199</v>
      </c>
      <c r="E48" t="s">
        <v>61</v>
      </c>
    </row>
    <row r="49" spans="2:5" x14ac:dyDescent="0.3">
      <c r="B49">
        <v>2024</v>
      </c>
      <c r="C49" t="s">
        <v>206</v>
      </c>
      <c r="D49" t="s">
        <v>207</v>
      </c>
      <c r="E49" t="s">
        <v>61</v>
      </c>
    </row>
    <row r="50" spans="2:5" x14ac:dyDescent="0.3">
      <c r="B50">
        <v>2025</v>
      </c>
      <c r="C50" t="s">
        <v>258</v>
      </c>
      <c r="D50" t="s">
        <v>259</v>
      </c>
      <c r="E50" t="s">
        <v>61</v>
      </c>
    </row>
    <row r="51" spans="2:5" x14ac:dyDescent="0.3">
      <c r="B51">
        <v>2025</v>
      </c>
      <c r="C51" t="s">
        <v>229</v>
      </c>
      <c r="D51" t="s">
        <v>230</v>
      </c>
      <c r="E51" t="s">
        <v>231</v>
      </c>
    </row>
    <row r="52" spans="2:5" x14ac:dyDescent="0.3">
      <c r="B52">
        <v>2025</v>
      </c>
      <c r="C52" t="s">
        <v>288</v>
      </c>
      <c r="D52" t="s">
        <v>289</v>
      </c>
      <c r="E52" t="s">
        <v>290</v>
      </c>
    </row>
    <row r="53" spans="2:5" x14ac:dyDescent="0.3">
      <c r="B53">
        <v>2022</v>
      </c>
      <c r="C53" t="s">
        <v>77</v>
      </c>
      <c r="D53" t="s">
        <v>78</v>
      </c>
      <c r="E53" t="s">
        <v>79</v>
      </c>
    </row>
    <row r="54" spans="2:5" x14ac:dyDescent="0.3">
      <c r="B54">
        <v>2025</v>
      </c>
      <c r="C54" t="s">
        <v>268</v>
      </c>
      <c r="D54" t="s">
        <v>269</v>
      </c>
      <c r="E54" t="s">
        <v>270</v>
      </c>
    </row>
    <row r="55" spans="2:5" x14ac:dyDescent="0.3">
      <c r="B55">
        <v>2021</v>
      </c>
      <c r="C55" t="s">
        <v>23</v>
      </c>
      <c r="D55" t="s">
        <v>24</v>
      </c>
      <c r="E55" t="s">
        <v>25</v>
      </c>
    </row>
    <row r="56" spans="2:5" x14ac:dyDescent="0.3">
      <c r="B56">
        <v>2023</v>
      </c>
      <c r="C56" t="s">
        <v>135</v>
      </c>
      <c r="D56" t="s">
        <v>136</v>
      </c>
      <c r="E56" t="s">
        <v>25</v>
      </c>
    </row>
    <row r="57" spans="2:5" x14ac:dyDescent="0.3">
      <c r="B57">
        <v>2024</v>
      </c>
      <c r="C57" t="s">
        <v>190</v>
      </c>
      <c r="D57" t="s">
        <v>191</v>
      </c>
      <c r="E57" t="s">
        <v>192</v>
      </c>
    </row>
    <row r="58" spans="2:5" x14ac:dyDescent="0.3">
      <c r="B58">
        <v>2025</v>
      </c>
      <c r="C58" t="s">
        <v>260</v>
      </c>
      <c r="D58" t="s">
        <v>261</v>
      </c>
      <c r="E58" t="s">
        <v>192</v>
      </c>
    </row>
    <row r="59" spans="2:5" x14ac:dyDescent="0.3">
      <c r="B59">
        <v>2022</v>
      </c>
      <c r="C59" t="s">
        <v>71</v>
      </c>
      <c r="D59" t="s">
        <v>72</v>
      </c>
      <c r="E59" t="s">
        <v>73</v>
      </c>
    </row>
    <row r="60" spans="2:5" x14ac:dyDescent="0.3">
      <c r="B60">
        <v>2023</v>
      </c>
      <c r="C60" t="s">
        <v>96</v>
      </c>
      <c r="D60" t="s">
        <v>97</v>
      </c>
      <c r="E60" t="s">
        <v>98</v>
      </c>
    </row>
    <row r="61" spans="2:5" x14ac:dyDescent="0.3">
      <c r="B61">
        <v>2024</v>
      </c>
      <c r="C61" t="s">
        <v>168</v>
      </c>
      <c r="D61" t="s">
        <v>169</v>
      </c>
      <c r="E61" t="s">
        <v>73</v>
      </c>
    </row>
    <row r="62" spans="2:5" x14ac:dyDescent="0.3">
      <c r="B62">
        <v>2024</v>
      </c>
      <c r="C62" t="s">
        <v>186</v>
      </c>
      <c r="D62" t="s">
        <v>187</v>
      </c>
      <c r="E62" t="s">
        <v>73</v>
      </c>
    </row>
    <row r="63" spans="2:5" x14ac:dyDescent="0.3">
      <c r="B63">
        <v>2024</v>
      </c>
      <c r="C63" t="s">
        <v>193</v>
      </c>
      <c r="D63" t="s">
        <v>194</v>
      </c>
      <c r="E63" t="s">
        <v>73</v>
      </c>
    </row>
    <row r="64" spans="2:5" x14ac:dyDescent="0.3">
      <c r="B64">
        <v>2021</v>
      </c>
      <c r="C64" t="s">
        <v>27</v>
      </c>
      <c r="D64" t="s">
        <v>38</v>
      </c>
      <c r="E64" t="s">
        <v>39</v>
      </c>
    </row>
    <row r="65" spans="2:5" x14ac:dyDescent="0.3">
      <c r="B65">
        <v>2023</v>
      </c>
      <c r="C65" t="s">
        <v>142</v>
      </c>
      <c r="D65" t="s">
        <v>143</v>
      </c>
      <c r="E65" t="s">
        <v>39</v>
      </c>
    </row>
    <row r="66" spans="2:5" x14ac:dyDescent="0.3">
      <c r="B66">
        <v>2025</v>
      </c>
      <c r="C66" t="s">
        <v>223</v>
      </c>
      <c r="D66" t="s">
        <v>224</v>
      </c>
      <c r="E66" t="s">
        <v>225</v>
      </c>
    </row>
    <row r="67" spans="2:5" x14ac:dyDescent="0.3">
      <c r="B67">
        <v>2022</v>
      </c>
      <c r="C67" t="s">
        <v>74</v>
      </c>
      <c r="D67" t="s">
        <v>75</v>
      </c>
      <c r="E67" t="s">
        <v>76</v>
      </c>
    </row>
    <row r="68" spans="2:5" x14ac:dyDescent="0.3">
      <c r="B68">
        <v>2021</v>
      </c>
      <c r="C68" t="s">
        <v>13</v>
      </c>
      <c r="D68" t="s">
        <v>14</v>
      </c>
      <c r="E68" t="s">
        <v>15</v>
      </c>
    </row>
    <row r="69" spans="2:5" x14ac:dyDescent="0.3">
      <c r="B69">
        <v>2021</v>
      </c>
      <c r="C69" t="s">
        <v>30</v>
      </c>
      <c r="D69" t="s">
        <v>31</v>
      </c>
      <c r="E69" t="s">
        <v>32</v>
      </c>
    </row>
    <row r="70" spans="2:5" x14ac:dyDescent="0.3">
      <c r="B70">
        <v>2022</v>
      </c>
      <c r="C70" t="s">
        <v>45</v>
      </c>
      <c r="D70" t="s">
        <v>46</v>
      </c>
      <c r="E70" t="s">
        <v>15</v>
      </c>
    </row>
    <row r="71" spans="2:5" x14ac:dyDescent="0.3">
      <c r="B71">
        <v>2025</v>
      </c>
      <c r="C71" t="s">
        <v>232</v>
      </c>
      <c r="D71" t="s">
        <v>233</v>
      </c>
      <c r="E71" t="s">
        <v>15</v>
      </c>
    </row>
    <row r="72" spans="2:5" x14ac:dyDescent="0.3">
      <c r="B72">
        <v>2025</v>
      </c>
      <c r="C72" t="s">
        <v>285</v>
      </c>
      <c r="D72" t="s">
        <v>286</v>
      </c>
      <c r="E72" t="s">
        <v>287</v>
      </c>
    </row>
    <row r="73" spans="2:5" x14ac:dyDescent="0.3">
      <c r="B73">
        <v>2022</v>
      </c>
      <c r="C73" t="s">
        <v>80</v>
      </c>
      <c r="D73" t="s">
        <v>81</v>
      </c>
      <c r="E73" t="s">
        <v>82</v>
      </c>
    </row>
    <row r="74" spans="2:5" x14ac:dyDescent="0.3">
      <c r="B74">
        <v>2025</v>
      </c>
      <c r="C74" t="s">
        <v>242</v>
      </c>
      <c r="D74" t="s">
        <v>243</v>
      </c>
      <c r="E74" t="s">
        <v>244</v>
      </c>
    </row>
    <row r="75" spans="2:5" x14ac:dyDescent="0.3">
      <c r="B75">
        <v>2024</v>
      </c>
      <c r="C75" t="s">
        <v>165</v>
      </c>
      <c r="D75" t="s">
        <v>166</v>
      </c>
      <c r="E75" t="s">
        <v>167</v>
      </c>
    </row>
    <row r="76" spans="2:5" x14ac:dyDescent="0.3">
      <c r="B76">
        <v>2025</v>
      </c>
      <c r="C76" t="s">
        <v>195</v>
      </c>
      <c r="D76" t="s">
        <v>256</v>
      </c>
      <c r="E76" t="s">
        <v>257</v>
      </c>
    </row>
    <row r="77" spans="2:5" x14ac:dyDescent="0.3">
      <c r="B77">
        <v>2023</v>
      </c>
      <c r="C77" t="s">
        <v>132</v>
      </c>
      <c r="D77" t="s">
        <v>133</v>
      </c>
      <c r="E77" t="s">
        <v>134</v>
      </c>
    </row>
    <row r="78" spans="2:5" x14ac:dyDescent="0.3">
      <c r="B78">
        <v>2025</v>
      </c>
      <c r="C78" t="s">
        <v>277</v>
      </c>
      <c r="D78" t="s">
        <v>278</v>
      </c>
      <c r="E78" t="s">
        <v>279</v>
      </c>
    </row>
    <row r="79" spans="2:5" x14ac:dyDescent="0.3">
      <c r="B79">
        <v>2025</v>
      </c>
      <c r="C79" t="s">
        <v>236</v>
      </c>
      <c r="D79" t="s">
        <v>237</v>
      </c>
      <c r="E79" t="s">
        <v>238</v>
      </c>
    </row>
    <row r="80" spans="2:5" x14ac:dyDescent="0.3">
      <c r="B80">
        <v>2021</v>
      </c>
      <c r="C80" t="s">
        <v>27</v>
      </c>
      <c r="D80" t="s">
        <v>28</v>
      </c>
      <c r="E80" t="s">
        <v>29</v>
      </c>
    </row>
    <row r="81" spans="2:5" x14ac:dyDescent="0.3">
      <c r="B81">
        <v>2025</v>
      </c>
      <c r="C81" t="s">
        <v>245</v>
      </c>
      <c r="D81" t="s">
        <v>246</v>
      </c>
      <c r="E81" t="s">
        <v>247</v>
      </c>
    </row>
    <row r="82" spans="2:5" x14ac:dyDescent="0.3">
      <c r="B82">
        <v>2023</v>
      </c>
      <c r="C82" t="s">
        <v>129</v>
      </c>
      <c r="D82" t="s">
        <v>130</v>
      </c>
      <c r="E82" t="s">
        <v>131</v>
      </c>
    </row>
    <row r="83" spans="2:5" x14ac:dyDescent="0.3">
      <c r="B83">
        <v>2023</v>
      </c>
      <c r="C83" t="s">
        <v>83</v>
      </c>
      <c r="D83" t="s">
        <v>84</v>
      </c>
      <c r="E83" t="s">
        <v>85</v>
      </c>
    </row>
    <row r="84" spans="2:5" x14ac:dyDescent="0.3">
      <c r="B84">
        <v>2023</v>
      </c>
      <c r="C84" t="s">
        <v>146</v>
      </c>
      <c r="D84" t="s">
        <v>147</v>
      </c>
      <c r="E84" t="s">
        <v>148</v>
      </c>
    </row>
    <row r="85" spans="2:5" x14ac:dyDescent="0.3">
      <c r="B85">
        <v>2025</v>
      </c>
      <c r="C85" t="s">
        <v>250</v>
      </c>
      <c r="D85" t="s">
        <v>251</v>
      </c>
      <c r="E85" t="s">
        <v>252</v>
      </c>
    </row>
    <row r="86" spans="2:5" x14ac:dyDescent="0.3">
      <c r="B86">
        <v>2022</v>
      </c>
      <c r="C86" t="s">
        <v>62</v>
      </c>
      <c r="D86" t="s">
        <v>63</v>
      </c>
      <c r="E86" t="s">
        <v>64</v>
      </c>
    </row>
    <row r="87" spans="2:5" x14ac:dyDescent="0.3">
      <c r="B87">
        <v>2023</v>
      </c>
      <c r="C87" t="s">
        <v>91</v>
      </c>
      <c r="D87" t="s">
        <v>92</v>
      </c>
      <c r="E87" t="s">
        <v>64</v>
      </c>
    </row>
    <row r="88" spans="2:5" x14ac:dyDescent="0.3">
      <c r="B88">
        <v>2023</v>
      </c>
      <c r="C88" t="s">
        <v>140</v>
      </c>
      <c r="D88" t="s">
        <v>141</v>
      </c>
      <c r="E88" t="s">
        <v>64</v>
      </c>
    </row>
    <row r="89" spans="2:5" x14ac:dyDescent="0.3">
      <c r="B89">
        <v>2025</v>
      </c>
      <c r="C89" t="s">
        <v>274</v>
      </c>
      <c r="D89" t="s">
        <v>275</v>
      </c>
      <c r="E89" t="s">
        <v>276</v>
      </c>
    </row>
    <row r="90" spans="2:5" x14ac:dyDescent="0.3">
      <c r="B90">
        <v>2023</v>
      </c>
      <c r="C90" t="s">
        <v>101</v>
      </c>
      <c r="D90" t="s">
        <v>102</v>
      </c>
      <c r="E90" t="s">
        <v>103</v>
      </c>
    </row>
    <row r="91" spans="2:5" x14ac:dyDescent="0.3">
      <c r="B91">
        <v>2024</v>
      </c>
      <c r="C91" t="s">
        <v>195</v>
      </c>
      <c r="D91" t="s">
        <v>196</v>
      </c>
      <c r="E91" t="s">
        <v>197</v>
      </c>
    </row>
    <row r="92" spans="2:5" x14ac:dyDescent="0.3">
      <c r="B92">
        <v>2021</v>
      </c>
      <c r="C92" t="s">
        <v>18</v>
      </c>
      <c r="D92" t="s">
        <v>19</v>
      </c>
      <c r="E92" t="s">
        <v>20</v>
      </c>
    </row>
    <row r="93" spans="2:5" x14ac:dyDescent="0.3">
      <c r="B93">
        <v>2021</v>
      </c>
      <c r="C93" t="s">
        <v>21</v>
      </c>
      <c r="D93" t="s">
        <v>22</v>
      </c>
      <c r="E93" t="s">
        <v>20</v>
      </c>
    </row>
    <row r="94" spans="2:5" x14ac:dyDescent="0.3">
      <c r="B94">
        <v>2025</v>
      </c>
      <c r="C94" t="s">
        <v>253</v>
      </c>
      <c r="D94" t="s">
        <v>254</v>
      </c>
      <c r="E94" t="s">
        <v>255</v>
      </c>
    </row>
    <row r="95" spans="2:5" x14ac:dyDescent="0.3">
      <c r="B95">
        <v>2024</v>
      </c>
      <c r="C95" t="s">
        <v>200</v>
      </c>
      <c r="D95" t="s">
        <v>201</v>
      </c>
      <c r="E95" t="s">
        <v>202</v>
      </c>
    </row>
    <row r="96" spans="2:5" x14ac:dyDescent="0.3">
      <c r="B96">
        <v>2022</v>
      </c>
      <c r="C96" t="s">
        <v>50</v>
      </c>
      <c r="D96" t="s">
        <v>51</v>
      </c>
      <c r="E96" t="s">
        <v>52</v>
      </c>
    </row>
    <row r="97" spans="2:5" x14ac:dyDescent="0.3">
      <c r="B97">
        <v>2023</v>
      </c>
      <c r="C97" t="s">
        <v>137</v>
      </c>
      <c r="D97" t="s">
        <v>138</v>
      </c>
      <c r="E97" t="s">
        <v>139</v>
      </c>
    </row>
    <row r="98" spans="2:5" x14ac:dyDescent="0.3">
      <c r="B98">
        <v>2023</v>
      </c>
      <c r="C98" t="s">
        <v>111</v>
      </c>
      <c r="D98" t="s">
        <v>112</v>
      </c>
      <c r="E98" t="s">
        <v>113</v>
      </c>
    </row>
    <row r="99" spans="2:5" x14ac:dyDescent="0.3">
      <c r="B99">
        <v>2021</v>
      </c>
      <c r="C99" t="s">
        <v>40</v>
      </c>
      <c r="D99" t="s">
        <v>41</v>
      </c>
      <c r="E99" t="s">
        <v>42</v>
      </c>
    </row>
    <row r="100" spans="2:5" x14ac:dyDescent="0.3">
      <c r="B100">
        <v>2024</v>
      </c>
      <c r="C100" t="s">
        <v>181</v>
      </c>
      <c r="D100" t="s">
        <v>182</v>
      </c>
      <c r="E100" t="s">
        <v>183</v>
      </c>
    </row>
    <row r="101" spans="2:5" x14ac:dyDescent="0.3">
      <c r="B101">
        <v>2024</v>
      </c>
      <c r="C101" t="s">
        <v>188</v>
      </c>
      <c r="D101" t="s">
        <v>189</v>
      </c>
      <c r="E101" t="s">
        <v>183</v>
      </c>
    </row>
    <row r="102" spans="2:5" x14ac:dyDescent="0.3">
      <c r="B102">
        <v>2025</v>
      </c>
      <c r="C102" t="s">
        <v>234</v>
      </c>
      <c r="D102" t="s">
        <v>235</v>
      </c>
      <c r="E102" t="s">
        <v>183</v>
      </c>
    </row>
    <row r="103" spans="2:5" x14ac:dyDescent="0.3">
      <c r="B103">
        <v>2025</v>
      </c>
      <c r="C103" t="s">
        <v>280</v>
      </c>
      <c r="D103" t="s">
        <v>281</v>
      </c>
      <c r="E103" t="s">
        <v>183</v>
      </c>
    </row>
    <row r="104" spans="2:5" x14ac:dyDescent="0.3">
      <c r="B104">
        <v>2021</v>
      </c>
      <c r="C104" t="s">
        <v>35</v>
      </c>
      <c r="D104" t="s">
        <v>36</v>
      </c>
      <c r="E104" t="s">
        <v>37</v>
      </c>
    </row>
    <row r="105" spans="2:5" x14ac:dyDescent="0.3">
      <c r="B105">
        <v>2021</v>
      </c>
      <c r="C105" t="s">
        <v>43</v>
      </c>
      <c r="D105" t="s">
        <v>44</v>
      </c>
      <c r="E105" t="s">
        <v>37</v>
      </c>
    </row>
    <row r="106" spans="2:5" x14ac:dyDescent="0.3">
      <c r="B106">
        <v>2025</v>
      </c>
      <c r="C106" t="s">
        <v>226</v>
      </c>
      <c r="D106" t="s">
        <v>227</v>
      </c>
      <c r="E106" t="s">
        <v>228</v>
      </c>
    </row>
    <row r="107" spans="2:5" x14ac:dyDescent="0.3">
      <c r="B107">
        <v>2022</v>
      </c>
      <c r="C107" t="s">
        <v>68</v>
      </c>
      <c r="D107" t="s">
        <v>69</v>
      </c>
      <c r="E107" t="s">
        <v>70</v>
      </c>
    </row>
    <row r="108" spans="2:5" x14ac:dyDescent="0.3">
      <c r="B108">
        <v>2022</v>
      </c>
      <c r="C108" t="s">
        <v>65</v>
      </c>
      <c r="D108" t="s">
        <v>66</v>
      </c>
      <c r="E108" t="s">
        <v>67</v>
      </c>
    </row>
    <row r="109" spans="2:5" x14ac:dyDescent="0.3">
      <c r="B109">
        <v>2022</v>
      </c>
      <c r="C109" t="s">
        <v>56</v>
      </c>
      <c r="D109" t="s">
        <v>57</v>
      </c>
      <c r="E109" t="s">
        <v>58</v>
      </c>
    </row>
    <row r="110" spans="2:5" x14ac:dyDescent="0.3">
      <c r="B110">
        <v>2024</v>
      </c>
      <c r="C110" t="s">
        <v>155</v>
      </c>
      <c r="D110" t="s">
        <v>156</v>
      </c>
      <c r="E110" t="s">
        <v>157</v>
      </c>
    </row>
    <row r="111" spans="2:5" x14ac:dyDescent="0.3">
      <c r="B111">
        <v>2024</v>
      </c>
      <c r="C111" t="s">
        <v>158</v>
      </c>
      <c r="D111" t="s">
        <v>159</v>
      </c>
      <c r="E111" t="s">
        <v>160</v>
      </c>
    </row>
  </sheetData>
  <sortState xmlns:xlrd2="http://schemas.microsoft.com/office/spreadsheetml/2017/richdata2" ref="B2:E111">
    <sortCondition ref="E1:E11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7D8D1-AB14-4AA8-A51A-A04B80DD5B45}">
  <dimension ref="C4:E10"/>
  <sheetViews>
    <sheetView tabSelected="1" workbookViewId="0">
      <selection activeCell="A15" sqref="A15"/>
    </sheetView>
  </sheetViews>
  <sheetFormatPr defaultRowHeight="14" x14ac:dyDescent="0.3"/>
  <cols>
    <col min="4" max="4" width="14.75" customWidth="1"/>
  </cols>
  <sheetData>
    <row r="4" spans="3:5" x14ac:dyDescent="0.3">
      <c r="C4" t="s">
        <v>0</v>
      </c>
      <c r="D4" t="s">
        <v>1</v>
      </c>
      <c r="E4" t="s">
        <v>2</v>
      </c>
    </row>
    <row r="5" spans="3:5" x14ac:dyDescent="0.3">
      <c r="C5">
        <v>2021</v>
      </c>
      <c r="D5">
        <v>15</v>
      </c>
      <c r="E5">
        <f>(D5/110)*100</f>
        <v>13.636363636363635</v>
      </c>
    </row>
    <row r="6" spans="3:5" x14ac:dyDescent="0.3">
      <c r="C6">
        <v>2022</v>
      </c>
      <c r="D6">
        <v>13</v>
      </c>
      <c r="E6">
        <f t="shared" ref="E6:E9" si="0">(D6/110)*100</f>
        <v>11.818181818181818</v>
      </c>
    </row>
    <row r="7" spans="3:5" x14ac:dyDescent="0.3">
      <c r="C7">
        <v>2023</v>
      </c>
      <c r="D7">
        <v>26</v>
      </c>
      <c r="E7">
        <f t="shared" si="0"/>
        <v>23.636363636363637</v>
      </c>
    </row>
    <row r="8" spans="3:5" x14ac:dyDescent="0.3">
      <c r="C8">
        <v>2024</v>
      </c>
      <c r="D8">
        <v>25</v>
      </c>
      <c r="E8">
        <f t="shared" si="0"/>
        <v>22.727272727272727</v>
      </c>
    </row>
    <row r="9" spans="3:5" x14ac:dyDescent="0.3">
      <c r="C9">
        <v>2025</v>
      </c>
      <c r="D9">
        <v>31</v>
      </c>
      <c r="E9">
        <f t="shared" si="0"/>
        <v>28.18181818181818</v>
      </c>
    </row>
    <row r="10" spans="3:5" x14ac:dyDescent="0.3">
      <c r="D10">
        <f>SUM(D5:D9)</f>
        <v>110</v>
      </c>
      <c r="E10">
        <f>SUM(E5:E9)</f>
        <v>100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316F5-09A8-4396-9590-1CFBAB409715}">
  <dimension ref="B2:C8"/>
  <sheetViews>
    <sheetView workbookViewId="0">
      <selection activeCell="C11" sqref="C11"/>
    </sheetView>
  </sheetViews>
  <sheetFormatPr defaultRowHeight="14" x14ac:dyDescent="0.3"/>
  <cols>
    <col min="2" max="2" width="30.75" customWidth="1"/>
    <col min="3" max="3" width="27.9140625" customWidth="1"/>
  </cols>
  <sheetData>
    <row r="2" spans="2:3" ht="14.5" thickBot="1" x14ac:dyDescent="0.35"/>
    <row r="3" spans="2:3" ht="42.5" thickBot="1" x14ac:dyDescent="0.35">
      <c r="B3" s="1" t="s">
        <v>293</v>
      </c>
      <c r="C3" s="1" t="s">
        <v>294</v>
      </c>
    </row>
    <row r="4" spans="2:3" ht="17" customHeight="1" thickBot="1" x14ac:dyDescent="0.35">
      <c r="B4" s="1" t="s">
        <v>61</v>
      </c>
      <c r="C4" s="2">
        <v>11</v>
      </c>
    </row>
    <row r="5" spans="2:3" ht="22" customHeight="1" thickBot="1" x14ac:dyDescent="0.35">
      <c r="B5" s="1" t="s">
        <v>88</v>
      </c>
      <c r="C5" s="2">
        <v>6</v>
      </c>
    </row>
    <row r="6" spans="2:3" ht="32" customHeight="1" thickBot="1" x14ac:dyDescent="0.35">
      <c r="B6" s="1" t="s">
        <v>73</v>
      </c>
      <c r="C6" s="2">
        <v>5</v>
      </c>
    </row>
    <row r="7" spans="2:3" ht="28.5" thickBot="1" x14ac:dyDescent="0.35">
      <c r="B7" s="1" t="s">
        <v>183</v>
      </c>
      <c r="C7" s="2">
        <v>4</v>
      </c>
    </row>
    <row r="8" spans="2:3" ht="30" customHeight="1" thickBot="1" x14ac:dyDescent="0.35">
      <c r="B8" s="1" t="s">
        <v>295</v>
      </c>
      <c r="C8" s="2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Journals </vt:lpstr>
      <vt:lpstr>Publication Year</vt:lpstr>
      <vt:lpstr>Top 5 Journals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</dc:creator>
  <cp:lastModifiedBy>rao</cp:lastModifiedBy>
  <dcterms:created xsi:type="dcterms:W3CDTF">2026-04-04T10:39:37Z</dcterms:created>
  <dcterms:modified xsi:type="dcterms:W3CDTF">2026-05-24T01:49:19Z</dcterms:modified>
</cp:coreProperties>
</file>